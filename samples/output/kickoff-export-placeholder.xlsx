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quirements" sheetId="2" state="visible" r:id="rId2"/>
    <sheet xmlns:r="http://schemas.openxmlformats.org/officeDocument/2006/relationships" name="Decisions" sheetId="3" state="visible" r:id="rId3"/>
    <sheet xmlns:r="http://schemas.openxmlformats.org/officeDocument/2006/relationships" name="Epics" sheetId="4" state="visible" r:id="rId4"/>
    <sheet xmlns:r="http://schemas.openxmlformats.org/officeDocument/2006/relationships" name="Stories" sheetId="5" state="visible" r:id="rId5"/>
    <sheet xmlns:r="http://schemas.openxmlformats.org/officeDocument/2006/relationships" name="Tasks" sheetId="6" state="visible" r:id="rId6"/>
    <sheet xmlns:r="http://schemas.openxmlformats.org/officeDocument/2006/relationships" name="RAID" sheetId="7" state="visible" r:id="rId7"/>
    <sheet xmlns:r="http://schemas.openxmlformats.org/officeDocument/2006/relationships" name="Open Questions" sheetId="8" state="visible" r:id="rId8"/>
    <sheet xmlns:r="http://schemas.openxmlformats.org/officeDocument/2006/relationships" name="Follow-up Email" sheetId="9" state="visible" r:id="rId9"/>
  </sheets>
  <definedNames>
    <definedName name="_xlnm._FilterDatabase" localSheetId="1" hidden="1">'Requirements'!$A$1:$F$14</definedName>
    <definedName name="_xlnm._FilterDatabase" localSheetId="2" hidden="1">'Decisions'!$A$1:$E$4</definedName>
    <definedName name="_xlnm._FilterDatabase" localSheetId="3" hidden="1">'Epics'!$A$1:$D$6</definedName>
    <definedName name="_xlnm._FilterDatabase" localSheetId="4" hidden="1">'Stories'!$A$1:$I$11</definedName>
    <definedName name="_xlnm._FilterDatabase" localSheetId="5" hidden="1">'Tasks'!$A$1:$H$19</definedName>
    <definedName name="_xlnm._FilterDatabase" localSheetId="6" hidden="1">'RAID'!$A$1:$J$7</definedName>
    <definedName name="_xlnm._FilterDatabase" localSheetId="7" hidden="1">'Open Questions'!$A$1:$F$5</definedName>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name val="Arial"/>
      <b val="1"/>
      <color rgb="00FFFFFF"/>
      <sz val="10"/>
    </font>
    <font>
      <name val="Arial"/>
      <sz val="10"/>
    </font>
    <font>
      <name val="Arial"/>
      <i val="1"/>
      <color rgb="00C00000"/>
      <sz val="10"/>
    </font>
    <font>
      <name val="Arial"/>
      <b val="1"/>
      <sz val="10"/>
    </font>
    <font>
      <name val="Arial"/>
      <b val="1"/>
      <sz val="14"/>
    </font>
    <font>
      <name val="Arial"/>
      <i val="1"/>
      <sz val="9"/>
    </font>
  </fonts>
  <fills count="4">
    <fill>
      <patternFill/>
    </fill>
    <fill>
      <patternFill patternType="gray125"/>
    </fill>
    <fill>
      <patternFill patternType="solid">
        <fgColor rgb="001F3864"/>
      </patternFill>
    </fill>
    <fill>
      <patternFill patternType="solid">
        <fgColor rgb="00FFF2CC"/>
      </patternFill>
    </fill>
  </fills>
  <borders count="1">
    <border>
      <left/>
      <right/>
      <top/>
      <bottom/>
      <diagonal/>
    </border>
  </borders>
  <cellStyleXfs count="1">
    <xf numFmtId="0" fontId="0" fillId="0" borderId="0"/>
  </cellStyleXfs>
  <cellXfs count="15">
    <xf numFmtId="0" fontId="0" fillId="0" borderId="0" pivotButton="0" quotePrefix="0" xfId="0"/>
    <xf numFmtId="0" fontId="5" fillId="0" borderId="0" pivotButton="0" quotePrefix="0" xfId="0"/>
    <xf numFmtId="0" fontId="4" fillId="0" borderId="0" pivotButton="0" quotePrefix="0" xfId="0"/>
    <xf numFmtId="0" fontId="2" fillId="0" borderId="0" applyAlignment="1" pivotButton="0" quotePrefix="0" xfId="0">
      <alignment horizontal="left"/>
    </xf>
    <xf numFmtId="164" fontId="2" fillId="0" borderId="0" applyAlignment="1" pivotButton="0" quotePrefix="0" xfId="0">
      <alignment horizontal="left"/>
    </xf>
    <xf numFmtId="9" fontId="2" fillId="0" borderId="0" applyAlignment="1" pivotButton="0" quotePrefix="0" xfId="0">
      <alignment horizontal="left"/>
    </xf>
    <xf numFmtId="0" fontId="2" fillId="0" borderId="0" pivotButton="0" quotePrefix="0" xfId="0"/>
    <xf numFmtId="0" fontId="6"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2" fillId="3" borderId="0" applyAlignment="1" pivotButton="0" quotePrefix="0" xfId="0">
      <alignment vertical="top" wrapText="1"/>
    </xf>
    <xf numFmtId="0" fontId="3" fillId="3"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0" customWidth="1" min="1" max="1"/>
    <col width="60" customWidth="1" min="2" max="2"/>
  </cols>
  <sheetData>
    <row r="1">
      <c r="A1" s="1" t="inlineStr">
        <is>
          <t>Meeting-to-Backlog export</t>
        </is>
      </c>
    </row>
    <row r="3">
      <c r="A3" s="2" t="inlineStr">
        <is>
          <t>Project</t>
        </is>
      </c>
      <c r="B3" s="3" t="inlineStr">
        <is>
          <t>Voyant T&amp;E — Corporate Card Feed Integration</t>
        </is>
      </c>
    </row>
    <row r="4">
      <c r="A4" s="2" t="inlineStr">
        <is>
          <t>Meeting</t>
        </is>
      </c>
      <c r="B4" s="3" t="inlineStr">
        <is>
          <t>Kickoff — Meridian card feed</t>
        </is>
      </c>
    </row>
    <row r="5">
      <c r="A5" s="2" t="inlineStr">
        <is>
          <t>Meeting date</t>
        </is>
      </c>
      <c r="B5" s="3" t="inlineStr">
        <is>
          <t>2026-01-12</t>
        </is>
      </c>
    </row>
    <row r="6">
      <c r="A6" s="2" t="inlineStr">
        <is>
          <t>Exported</t>
        </is>
      </c>
      <c r="B6" s="3" t="inlineStr">
        <is>
          <t>2026-09-28 05:20 UTC</t>
        </is>
      </c>
    </row>
    <row r="7">
      <c r="A7" s="2" t="inlineStr">
        <is>
          <t>Model</t>
        </is>
      </c>
      <c r="B7" s="3" t="inlineStr">
        <is>
          <t>demo</t>
        </is>
      </c>
    </row>
    <row r="8">
      <c r="A8" s="2" t="inlineStr">
        <is>
          <t>Model cost (USD)</t>
        </is>
      </c>
      <c r="B8" s="4" t="n">
        <v>0</v>
      </c>
    </row>
    <row r="10">
      <c r="A10" s="2" t="inlineStr">
        <is>
          <t>Requirements</t>
        </is>
      </c>
      <c r="B10" s="3">
        <f>COUNTA(Requirements!A:A)-1</f>
        <v/>
      </c>
    </row>
    <row r="11">
      <c r="A11" s="2" t="inlineStr">
        <is>
          <t>Decisions</t>
        </is>
      </c>
      <c r="B11" s="3">
        <f>COUNTA(Decisions!A:A)-1</f>
        <v/>
      </c>
    </row>
    <row r="12">
      <c r="A12" s="2" t="inlineStr">
        <is>
          <t>Open questions</t>
        </is>
      </c>
      <c r="B12" s="3">
        <f>COUNTA('Open Questions'!A:A)-1</f>
        <v/>
      </c>
    </row>
    <row r="13">
      <c r="A13" s="2" t="inlineStr">
        <is>
          <t>Epics</t>
        </is>
      </c>
      <c r="B13" s="3">
        <f>COUNTA(Epics!A:A)-1</f>
        <v/>
      </c>
    </row>
    <row r="14">
      <c r="A14" s="2" t="inlineStr">
        <is>
          <t>Stories</t>
        </is>
      </c>
      <c r="B14" s="3">
        <f>COUNTA(Stories!A:A)-1</f>
        <v/>
      </c>
    </row>
    <row r="15">
      <c r="A15" s="2" t="inlineStr">
        <is>
          <t>Story points</t>
        </is>
      </c>
      <c r="B15" s="3">
        <f>SUM(Stories!F:F)</f>
        <v/>
      </c>
    </row>
    <row r="16">
      <c r="A16" s="2" t="inlineStr">
        <is>
          <t>Tasks</t>
        </is>
      </c>
      <c r="B16" s="3">
        <f>COUNTA(Tasks!A:A)-1</f>
        <v/>
      </c>
    </row>
    <row r="17">
      <c r="A17" s="2" t="inlineStr">
        <is>
          <t>Tasks without an owner</t>
        </is>
      </c>
      <c r="B17" s="3">
        <f>COUNTIF(Tasks!E:E,"TBD")</f>
        <v/>
      </c>
    </row>
    <row r="18">
      <c r="A18" s="2" t="inlineStr">
        <is>
          <t>RAID items</t>
        </is>
      </c>
      <c r="B18" s="3">
        <f>COUNTA(RAID!A:A)-1</f>
        <v/>
      </c>
    </row>
    <row r="19">
      <c r="A19" s="2" t="inlineStr">
        <is>
          <t>Definition of Ready pass rate</t>
        </is>
      </c>
      <c r="B19" s="5">
        <f>IFERROR(COUNTIF(Stories!H:H,"Pass")/(COUNTA(Stories!A:A)-1),0)</f>
        <v/>
      </c>
    </row>
    <row r="21">
      <c r="A21" s="2" t="inlineStr">
        <is>
          <t>Stage</t>
        </is>
      </c>
      <c r="B21" s="2" t="inlineStr">
        <is>
          <t>Status</t>
        </is>
      </c>
    </row>
    <row r="22">
      <c r="A22" s="6" t="inlineStr">
        <is>
          <t>1. Extract</t>
        </is>
      </c>
      <c r="B22" s="6" t="inlineStr">
        <is>
          <t>Approved</t>
        </is>
      </c>
    </row>
    <row r="23">
      <c r="A23" s="6" t="inlineStr">
        <is>
          <t>2. Epics</t>
        </is>
      </c>
      <c r="B23" s="6" t="inlineStr">
        <is>
          <t>Approved</t>
        </is>
      </c>
    </row>
    <row r="24">
      <c r="A24" s="6" t="inlineStr">
        <is>
          <t>3. Stories</t>
        </is>
      </c>
      <c r="B24" s="6" t="inlineStr">
        <is>
          <t>Approved</t>
        </is>
      </c>
    </row>
    <row r="25">
      <c r="A25" s="6" t="inlineStr">
        <is>
          <t>4. Tasks &amp; dependencies</t>
        </is>
      </c>
      <c r="B25" s="6" t="inlineStr">
        <is>
          <t>Approved</t>
        </is>
      </c>
    </row>
    <row r="26">
      <c r="A26" s="6" t="inlineStr">
        <is>
          <t>5. RAID log &amp; follow-up email</t>
        </is>
      </c>
      <c r="B26" s="6" t="inlineStr">
        <is>
          <t>Approved</t>
        </is>
      </c>
    </row>
    <row r="28">
      <c r="A28" s="7" t="inlineStr">
        <is>
          <t>Rows shaded yellow need attention: stories that fail the Definition of Ready, and tasks with open questions. 'TBD' marks a missing owner.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16" customWidth="1" min="3" max="3"/>
    <col width="18" customWidth="1" min="4" max="4"/>
    <col width="8" customWidth="1" min="5" max="5"/>
    <col width="60" customWidth="1" min="6" max="6"/>
  </cols>
  <sheetData>
    <row r="1">
      <c r="A1" s="8" t="inlineStr">
        <is>
          <t>ID</t>
        </is>
      </c>
      <c r="B1" s="8" t="inlineStr">
        <is>
          <t>Requirement</t>
        </is>
      </c>
      <c r="C1" s="8" t="inlineStr">
        <is>
          <t>Type</t>
        </is>
      </c>
      <c r="D1" s="8" t="inlineStr">
        <is>
          <t>Speaker</t>
        </is>
      </c>
      <c r="E1" s="8" t="inlineStr">
        <is>
          <t>Time</t>
        </is>
      </c>
      <c r="F1" s="8" t="inlineStr">
        <is>
          <t>Source quote</t>
        </is>
      </c>
    </row>
    <row r="2">
      <c r="A2" s="9" t="inlineStr">
        <is>
          <t>REQ-1</t>
        </is>
      </c>
      <c r="B2" s="9" t="inlineStr">
        <is>
          <t>Ingest the daily Meridian card transaction file (fixed-width, spec v3) from the partner SFTP drop.</t>
        </is>
      </c>
      <c r="C2" s="9" t="inlineStr">
        <is>
          <t>Functional</t>
        </is>
      </c>
      <c r="D2" s="9" t="inlineStr">
        <is>
          <t>Tom Becker</t>
        </is>
      </c>
      <c r="E2" s="9" t="inlineStr">
        <is>
          <t>01:11</t>
        </is>
      </c>
      <c r="F2" s="9" t="inlineStr">
        <is>
          <t>we deliver a daily transaction file over SFTP</t>
        </is>
      </c>
    </row>
    <row r="3">
      <c r="A3" s="9" t="inlineStr">
        <is>
          <t>REQ-2</t>
        </is>
      </c>
      <c r="B3" s="9" t="inlineStr">
        <is>
          <t>Finish loading the day's transactions by 6 a.m. Eastern; files land by 4 a.m. and peak at about 200,000 transactions.</t>
        </is>
      </c>
      <c r="C3" s="9" t="inlineStr">
        <is>
          <t>Non-functional</t>
        </is>
      </c>
      <c r="D3" s="9" t="inlineStr">
        <is>
          <t>Raj Patel</t>
        </is>
      </c>
      <c r="E3" s="9" t="inlineStr">
        <is>
          <t>02:25</t>
        </is>
      </c>
      <c r="F3" s="9" t="inlineStr">
        <is>
          <t>The whole thing needs to be done by six a.m. Eastern so travellers see transactions when they start their day.</t>
        </is>
      </c>
    </row>
    <row r="4">
      <c r="A4" s="9" t="inlineStr">
        <is>
          <t>REQ-3</t>
        </is>
      </c>
      <c r="B4" s="9" t="inlineStr">
        <is>
          <t>Validate the record count in each file against its trailer record.</t>
        </is>
      </c>
      <c r="C4" s="9" t="inlineStr">
        <is>
          <t>Functional</t>
        </is>
      </c>
      <c r="D4" s="9" t="inlineStr">
        <is>
          <t>Raj Patel</t>
        </is>
      </c>
      <c r="E4" s="9" t="inlineStr">
        <is>
          <t>02:25</t>
        </is>
      </c>
      <c r="F4" s="9" t="inlineStr">
        <is>
          <t>validate record counts against the trailer record</t>
        </is>
      </c>
    </row>
    <row r="5">
      <c r="A5" s="9" t="inlineStr">
        <is>
          <t>REQ-4</t>
        </is>
      </c>
      <c r="B5" s="9" t="inlineStr">
        <is>
          <t>Make the file layout configuration rather than code, so the Q1 move to spec v4 needs no rebuild.</t>
        </is>
      </c>
      <c r="C5" s="9" t="inlineStr">
        <is>
          <t>Non-functional</t>
        </is>
      </c>
      <c r="D5" s="9" t="inlineStr">
        <is>
          <t>Mei Chen</t>
        </is>
      </c>
      <c r="E5" s="9" t="inlineStr">
        <is>
          <t>03:13</t>
        </is>
      </c>
      <c r="F5" s="9" t="inlineStr">
        <is>
          <t>I'd design the parser so the layout is configuration, not code.</t>
        </is>
      </c>
    </row>
    <row r="6">
      <c r="A6" s="9" t="inlineStr">
        <is>
          <t>REQ-5</t>
        </is>
      </c>
      <c r="B6" s="9" t="inlineStr">
        <is>
          <t>Persist only the last four digits of the card number and delete the raw file after processing.</t>
        </is>
      </c>
      <c r="C6" s="9" t="inlineStr">
        <is>
          <t>Constraint</t>
        </is>
      </c>
      <c r="D6" s="9" t="inlineStr">
        <is>
          <t>Lena Park</t>
        </is>
      </c>
      <c r="E6" s="9" t="inlineStr">
        <is>
          <t>03:41</t>
        </is>
      </c>
      <c r="F6" s="9" t="inlineStr">
        <is>
          <t>Only the last four digits can be persisted, and the raw file must be deleted after processing.</t>
        </is>
      </c>
    </row>
    <row r="7">
      <c r="A7" s="9" t="inlineStr">
        <is>
          <t>REQ-6</t>
        </is>
      </c>
      <c r="B7" s="9" t="inlineStr">
        <is>
          <t>Match each transaction to a SkyLane trip by traveller, transaction date within the trip dates plus or minus two days, and optionally merchant category.</t>
        </is>
      </c>
      <c r="C7" s="9" t="inlineStr">
        <is>
          <t>Functional</t>
        </is>
      </c>
      <c r="D7" s="9" t="inlineStr">
        <is>
          <t>Mei Chen</t>
        </is>
      </c>
      <c r="E7" s="9" t="inlineStr">
        <is>
          <t>04:49</t>
        </is>
      </c>
      <c r="F7" s="9" t="inlineStr">
        <is>
          <t>I'd suggest a window of plus or minus two days around the trip to catch pre-trip bookings and late hotel charges.</t>
        </is>
      </c>
    </row>
    <row r="8">
      <c r="A8" s="9" t="inlineStr">
        <is>
          <t>REQ-7</t>
        </is>
      </c>
      <c r="B8" s="9" t="inlineStr">
        <is>
          <t>Automatically create an expense line on the traveller's open report for each matched transaction.</t>
        </is>
      </c>
      <c r="C8" s="9" t="inlineStr">
        <is>
          <t>Functional</t>
        </is>
      </c>
      <c r="D8" s="9" t="inlineStr">
        <is>
          <t>Priya Nair</t>
        </is>
      </c>
      <c r="E8" s="9" t="inlineStr">
        <is>
          <t>06:41</t>
        </is>
      </c>
      <c r="F8" s="9" t="inlineStr">
        <is>
          <t>For matched transactions, we automatically create an expense line on the traveller's open report for that trip.</t>
        </is>
      </c>
    </row>
    <row r="9">
      <c r="A9" s="9" t="inlineStr">
        <is>
          <t>REQ-8</t>
        </is>
      </c>
      <c r="B9" s="9" t="inlineStr">
        <is>
          <t>Place unmatched transactions in an unassigned queue that the traveller can see and assign manually.</t>
        </is>
      </c>
      <c r="C9" s="9" t="inlineStr">
        <is>
          <t>Functional</t>
        </is>
      </c>
      <c r="D9" s="9" t="inlineStr">
        <is>
          <t>Priya Nair</t>
        </is>
      </c>
      <c r="E9" s="9" t="inlineStr">
        <is>
          <t>06:41</t>
        </is>
      </c>
      <c r="F9" s="9" t="inlineStr">
        <is>
          <t>For unmatched transactions, they go into an unassigned queue that the traveller can see and assign manually.</t>
        </is>
      </c>
    </row>
    <row r="10">
      <c r="A10" s="9" t="inlineStr">
        <is>
          <t>REQ-9</t>
        </is>
      </c>
      <c r="B10" s="9" t="inlineStr">
        <is>
          <t>Remind the traveller when a transaction has been unassigned for three days.</t>
        </is>
      </c>
      <c r="C10" s="9" t="inlineStr">
        <is>
          <t>Functional</t>
        </is>
      </c>
      <c r="D10" s="9" t="inlineStr">
        <is>
          <t>Aisha Rahman</t>
        </is>
      </c>
      <c r="E10" s="9" t="inlineStr">
        <is>
          <t>07:11</t>
        </is>
      </c>
      <c r="F10" s="9" t="inlineStr">
        <is>
          <t>If something's been sitting unassigned for three days, send them a reminder.</t>
        </is>
      </c>
    </row>
    <row r="11">
      <c r="A11" s="9" t="inlineStr">
        <is>
          <t>REQ-10</t>
        </is>
      </c>
      <c r="B11" s="9" t="inlineStr">
        <is>
          <t>Detect duplicate transactions across resent files using reference number, amount and date.</t>
        </is>
      </c>
      <c r="C11" s="9" t="inlineStr">
        <is>
          <t>Functional</t>
        </is>
      </c>
      <c r="D11" s="9" t="inlineStr">
        <is>
          <t>Raj Patel</t>
        </is>
      </c>
      <c r="E11" s="9" t="inlineStr">
        <is>
          <t>08:11</t>
        </is>
      </c>
      <c r="F11" s="9" t="inlineStr">
        <is>
          <t>We can dedupe on that plus amount and date.</t>
        </is>
      </c>
    </row>
    <row r="12">
      <c r="A12" s="9" t="inlineStr">
        <is>
          <t>REQ-11</t>
        </is>
      </c>
      <c r="B12" s="9" t="inlineStr">
        <is>
          <t>Record expense lines in the traveller's home currency using the amount the bank billed.</t>
        </is>
      </c>
      <c r="C12" s="9" t="inlineStr">
        <is>
          <t>Functional</t>
        </is>
      </c>
      <c r="D12" s="9" t="inlineStr">
        <is>
          <t>Aisha Rahman</t>
        </is>
      </c>
      <c r="E12" s="9" t="inlineStr">
        <is>
          <t>08:26</t>
        </is>
      </c>
      <c r="F12" s="9" t="inlineStr">
        <is>
          <t>I want the amount the bank actually billed, not our own conversion.</t>
        </is>
      </c>
    </row>
    <row r="13">
      <c r="A13" s="9" t="inlineStr">
        <is>
          <t>REQ-12</t>
        </is>
      </c>
      <c r="B13" s="9" t="inlineStr">
        <is>
          <t>Give finance admins a view of whether today's file arrived, how many transactions loaded, how many failed validation, and the match rate.</t>
        </is>
      </c>
      <c r="C13" s="9" t="inlineStr">
        <is>
          <t>Functional</t>
        </is>
      </c>
      <c r="D13" s="9" t="inlineStr">
        <is>
          <t>Aisha Rahman</t>
        </is>
      </c>
      <c r="E13" s="9" t="inlineStr">
        <is>
          <t>09:06</t>
        </is>
      </c>
      <c r="F13" s="9" t="inlineStr">
        <is>
          <t>A simple admin view showing whether today's file arrived, how many transactions loaded, how many failed validation, and the match rate.</t>
        </is>
      </c>
    </row>
    <row r="14">
      <c r="A14" s="9" t="inlineStr">
        <is>
          <t>REQ-13</t>
        </is>
      </c>
      <c r="B14" s="9" t="inlineStr">
        <is>
          <t>Keep an audit trail for every system-generated expense line: marked as system-generated, with source file and time.</t>
        </is>
      </c>
      <c r="C14" s="9" t="inlineStr">
        <is>
          <t>Non-functional</t>
        </is>
      </c>
      <c r="D14" s="9" t="inlineStr">
        <is>
          <t>Lena Park</t>
        </is>
      </c>
      <c r="E14" s="9" t="inlineStr">
        <is>
          <t>09:46</t>
        </is>
      </c>
      <c r="F14" s="9" t="inlineStr">
        <is>
          <t>every automatic action needs an audit trail.</t>
        </is>
      </c>
    </row>
  </sheetData>
  <autoFilter ref="A1:F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18" customWidth="1" min="3" max="3"/>
    <col width="8" customWidth="1" min="4" max="4"/>
    <col width="60" customWidth="1" min="5" max="5"/>
  </cols>
  <sheetData>
    <row r="1">
      <c r="A1" s="8" t="inlineStr">
        <is>
          <t>ID</t>
        </is>
      </c>
      <c r="B1" s="8" t="inlineStr">
        <is>
          <t>Decision</t>
        </is>
      </c>
      <c r="C1" s="8" t="inlineStr">
        <is>
          <t>Decided by</t>
        </is>
      </c>
      <c r="D1" s="8" t="inlineStr">
        <is>
          <t>Time</t>
        </is>
      </c>
      <c r="E1" s="8" t="inlineStr">
        <is>
          <t>Source quote</t>
        </is>
      </c>
    </row>
    <row r="2">
      <c r="A2" s="9" t="inlineStr">
        <is>
          <t>DEC-1</t>
        </is>
      </c>
      <c r="B2" s="9" t="inlineStr">
        <is>
          <t>Phase one uses the SFTP file drop, not the partner's real-time API.</t>
        </is>
      </c>
      <c r="C2" s="9" t="inlineStr">
        <is>
          <t>Priya Nair</t>
        </is>
      </c>
      <c r="D2" s="9" t="inlineStr">
        <is>
          <t>02:11</t>
        </is>
      </c>
      <c r="E2" s="9" t="inlineStr">
        <is>
          <t>Phase one uses the SFTP file drop, not the API.</t>
        </is>
      </c>
    </row>
    <row r="3">
      <c r="A3" s="9" t="inlineStr">
        <is>
          <t>DEC-2</t>
        </is>
      </c>
      <c r="B3" s="9" t="inlineStr">
        <is>
          <t>Only the last four digits of the card number are persisted.</t>
        </is>
      </c>
      <c r="C3" s="9" t="inlineStr">
        <is>
          <t>Priya Nair</t>
        </is>
      </c>
      <c r="D3" s="9" t="inlineStr">
        <is>
          <t>04:37</t>
        </is>
      </c>
      <c r="E3" s="9" t="inlineStr">
        <is>
          <t>we only persist the last four digits of the card number.</t>
        </is>
      </c>
    </row>
    <row r="4">
      <c r="A4" s="9" t="inlineStr">
        <is>
          <t>DEC-3</t>
        </is>
      </c>
      <c r="B4" s="9" t="inlineStr">
        <is>
          <t>The matching window is plus or minus two days around the trip.</t>
        </is>
      </c>
      <c r="C4" s="9" t="inlineStr">
        <is>
          <t>Priya Nair</t>
        </is>
      </c>
      <c r="D4" s="9" t="inlineStr">
        <is>
          <t>05:41</t>
        </is>
      </c>
      <c r="E4" s="9" t="inlineStr">
        <is>
          <t>we'll go with a plus or minus two day matching window.</t>
        </is>
      </c>
    </row>
  </sheetData>
  <autoFilter ref="A1:E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70" customWidth="1" min="3" max="3"/>
    <col width="30" customWidth="1" min="4" max="4"/>
  </cols>
  <sheetData>
    <row r="1">
      <c r="A1" s="8" t="inlineStr">
        <is>
          <t>ID</t>
        </is>
      </c>
      <c r="B1" s="8" t="inlineStr">
        <is>
          <t>Epic</t>
        </is>
      </c>
      <c r="C1" s="8" t="inlineStr">
        <is>
          <t>Description</t>
        </is>
      </c>
      <c r="D1" s="8" t="inlineStr">
        <is>
          <t>Requirements</t>
        </is>
      </c>
    </row>
    <row r="2">
      <c r="A2" s="9" t="inlineStr">
        <is>
          <t>EPIC-1</t>
        </is>
      </c>
      <c r="B2" s="9" t="inlineStr">
        <is>
          <t>Card file ingestion</t>
        </is>
      </c>
      <c r="C2" s="9" t="inlineStr">
        <is>
          <t>Pick up, parse, validate and load the daily Meridian file before 6 a.m. Eastern, with a configurable layout and duplicate protection. Excludes matching.</t>
        </is>
      </c>
      <c r="D2" s="9" t="inlineStr">
        <is>
          <t>REQ-1, REQ-2, REQ-3, REQ-4, REQ-10</t>
        </is>
      </c>
    </row>
    <row r="3">
      <c r="A3" s="9" t="inlineStr">
        <is>
          <t>EPIC-2</t>
        </is>
      </c>
      <c r="B3" s="9" t="inlineStr">
        <is>
          <t>Card data security and audit</t>
        </is>
      </c>
      <c r="C3" s="9" t="inlineStr">
        <is>
          <t>Meet PCI obligations for card data and record every automatic action. Covers masking, raw file handling and audit trail.</t>
        </is>
      </c>
      <c r="D3" s="9" t="inlineStr">
        <is>
          <t>REQ-5, REQ-13</t>
        </is>
      </c>
    </row>
    <row r="4">
      <c r="A4" s="9" t="inlineStr">
        <is>
          <t>EPIC-3</t>
        </is>
      </c>
      <c r="B4" s="9" t="inlineStr">
        <is>
          <t>Transaction-to-trip matching</t>
        </is>
      </c>
      <c r="C4" s="9" t="inlineStr">
        <is>
          <t>Match each card transaction to the right SkyLane trip and record the billed amount. Excludes what happens after the match.</t>
        </is>
      </c>
      <c r="D4" s="9" t="inlineStr">
        <is>
          <t>REQ-6, REQ-11</t>
        </is>
      </c>
    </row>
    <row r="5">
      <c r="A5" s="9" t="inlineStr">
        <is>
          <t>EPIC-4</t>
        </is>
      </c>
      <c r="B5" s="9" t="inlineStr">
        <is>
          <t>Expense lines and unassigned queue</t>
        </is>
      </c>
      <c r="C5" s="9" t="inlineStr">
        <is>
          <t>Turn matched transactions into expense lines and give travellers a queue and reminders for the rest.</t>
        </is>
      </c>
      <c r="D5" s="9" t="inlineStr">
        <is>
          <t>REQ-7, REQ-8, REQ-9</t>
        </is>
      </c>
    </row>
    <row r="6">
      <c r="A6" s="9" t="inlineStr">
        <is>
          <t>EPIC-5</t>
        </is>
      </c>
      <c r="B6" s="9" t="inlineStr">
        <is>
          <t>Operations visibility</t>
        </is>
      </c>
      <c r="C6" s="9" t="inlineStr">
        <is>
          <t>Show finance admins the daily health of the feed so they hear about problems before travellers do.</t>
        </is>
      </c>
      <c r="D6" s="9" t="inlineStr">
        <is>
          <t>REQ-12</t>
        </is>
      </c>
    </row>
  </sheetData>
  <autoFilter ref="A1:D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50" customWidth="1" min="3" max="3"/>
    <col width="70" customWidth="1" min="4" max="4"/>
    <col width="10" customWidth="1" min="5" max="5"/>
    <col width="8" customWidth="1" min="6" max="6"/>
    <col width="18" customWidth="1" min="7" max="7"/>
    <col width="12" customWidth="1" min="8" max="8"/>
    <col width="50" customWidth="1" min="9" max="9"/>
  </cols>
  <sheetData>
    <row r="1">
      <c r="A1" s="8" t="inlineStr">
        <is>
          <t>ID</t>
        </is>
      </c>
      <c r="B1" s="8" t="inlineStr">
        <is>
          <t>Epic</t>
        </is>
      </c>
      <c r="C1" s="8" t="inlineStr">
        <is>
          <t>User story</t>
        </is>
      </c>
      <c r="D1" s="8" t="inlineStr">
        <is>
          <t>Acceptance criteria</t>
        </is>
      </c>
      <c r="E1" s="8" t="inlineStr">
        <is>
          <t>Priority</t>
        </is>
      </c>
      <c r="F1" s="8" t="inlineStr">
        <is>
          <t>Points</t>
        </is>
      </c>
      <c r="G1" s="8" t="inlineStr">
        <is>
          <t>Requirements</t>
        </is>
      </c>
      <c r="H1" s="8" t="inlineStr">
        <is>
          <t>DoR</t>
        </is>
      </c>
      <c r="I1" s="8" t="inlineStr">
        <is>
          <t>DoR issues</t>
        </is>
      </c>
    </row>
    <row r="2">
      <c r="A2" s="10" t="inlineStr">
        <is>
          <t>STORY-1</t>
        </is>
      </c>
      <c r="B2" s="10" t="inlineStr">
        <is>
          <t>EPIC-1</t>
        </is>
      </c>
      <c r="C2" s="10" t="inlineStr">
        <is>
          <t>As a finance operations manager, I want the daily Meridian file picked up from SFTP and parsed using a configurable v3 layout, so that card spend reaches Voyant every morning without manual entry.</t>
        </is>
      </c>
      <c r="D2" s="10" t="inlineStr">
        <is>
          <t>1. Given a valid v3 file lands on the SFTP drop by 4 a.m. Eastern, when the ingestion job runs, then all records are parsed and loaded by 6 a.m. Eastern
2. Given the layout configuration is updated, when the next file is processed, then the parser uses the new layout without a code release
3. [Negative] Given a record does not match the configured layout, when the file is processed, then that record is rejected and logged, and the remaining records still load</t>
        </is>
      </c>
      <c r="E2" s="10" t="inlineStr">
        <is>
          <t>High</t>
        </is>
      </c>
      <c r="F2" s="10" t="n">
        <v>8</v>
      </c>
      <c r="G2" s="10" t="inlineStr">
        <is>
          <t>REQ-1, REQ-2, REQ-4</t>
        </is>
      </c>
      <c r="H2" s="10" t="inlineStr">
        <is>
          <t>Needs work</t>
        </is>
      </c>
      <c r="I2" s="10" t="inlineStr">
        <is>
          <t>Dependencies and owner named: unclear dependency on TASK-2</t>
        </is>
      </c>
    </row>
    <row r="3">
      <c r="A3" s="9" t="inlineStr">
        <is>
          <t>STORY-2</t>
        </is>
      </c>
      <c r="B3" s="9" t="inlineStr">
        <is>
          <t>EPIC-1</t>
        </is>
      </c>
      <c r="C3" s="9" t="inlineStr">
        <is>
          <t>As a finance operations manager, I want each file's record count checked against its trailer record, so that we never load a partial or corrupted file.</t>
        </is>
      </c>
      <c r="D3" s="9" t="inlineStr">
        <is>
          <t>1. Given a file whose record count matches the trailer, when it is validated, then the file is accepted for loading
2. [Negative] Given a file whose record count does not match the trailer, when it is validated, then the file is rejected, nothing is loaded, and an alert is raised</t>
        </is>
      </c>
      <c r="E3" s="9" t="inlineStr">
        <is>
          <t>High</t>
        </is>
      </c>
      <c r="F3" s="9" t="n">
        <v>3</v>
      </c>
      <c r="G3" s="9" t="inlineStr">
        <is>
          <t>REQ-3</t>
        </is>
      </c>
      <c r="H3" s="9" t="inlineStr">
        <is>
          <t>Pass</t>
        </is>
      </c>
      <c r="I3" s="9" t="inlineStr"/>
    </row>
    <row r="4">
      <c r="A4" s="9" t="inlineStr">
        <is>
          <t>STORY-3</t>
        </is>
      </c>
      <c r="B4" s="9" t="inlineStr">
        <is>
          <t>EPIC-1</t>
        </is>
      </c>
      <c r="C4" s="9" t="inlineStr">
        <is>
          <t>As a traveller, I want a transaction resent in a later file to appear only once, so that I don't have to delete duplicate expense lines.</t>
        </is>
      </c>
      <c r="D4" s="9" t="inlineStr">
        <is>
          <t>1. Given a transaction with the same reference number, amount and date as one already loaded, when a new file is processed, then no second expense line is created
2. [Negative] Given a transaction with the same reference number but a different amount, when a new file is processed, then it is loaded and flagged for review</t>
        </is>
      </c>
      <c r="E4" s="9" t="inlineStr">
        <is>
          <t>High</t>
        </is>
      </c>
      <c r="F4" s="9" t="n">
        <v>3</v>
      </c>
      <c r="G4" s="9" t="inlineStr">
        <is>
          <t>REQ-10</t>
        </is>
      </c>
      <c r="H4" s="9" t="inlineStr">
        <is>
          <t>Pass</t>
        </is>
      </c>
      <c r="I4" s="9" t="inlineStr"/>
    </row>
    <row r="5">
      <c r="A5" s="10" t="inlineStr">
        <is>
          <t>STORY-4</t>
        </is>
      </c>
      <c r="B5" s="10" t="inlineStr">
        <is>
          <t>EPIC-2</t>
        </is>
      </c>
      <c r="C5" s="10" t="inlineStr">
        <is>
          <t>As a compliance analyst, I want card numbers masked to the last four digits before anything is written, and raw files deleted after processing, so that Voyant never stores a full card number.</t>
        </is>
      </c>
      <c r="D5" s="10" t="inlineStr">
        <is>
          <t>1. Given a file containing full card numbers, when it is processed, then only the last four digits are stored
2. [Negative] Given processing has finished, when the database, logs and file storage are searched for full card numbers, then none are found</t>
        </is>
      </c>
      <c r="E5" s="10" t="inlineStr">
        <is>
          <t>High</t>
        </is>
      </c>
      <c r="F5" s="10" t="n">
        <v>5</v>
      </c>
      <c r="G5" s="10" t="inlineStr">
        <is>
          <t>REQ-5</t>
        </is>
      </c>
      <c r="H5" s="10" t="inlineStr">
        <is>
          <t>Needs work</t>
        </is>
      </c>
      <c r="I5" s="10" t="inlineStr">
        <is>
          <t>No open questions: Q-1 unresolved</t>
        </is>
      </c>
    </row>
    <row r="6">
      <c r="A6" s="10" t="inlineStr">
        <is>
          <t>STORY-5</t>
        </is>
      </c>
      <c r="B6" s="10" t="inlineStr">
        <is>
          <t>EPIC-2</t>
        </is>
      </c>
      <c r="C6" s="10" t="inlineStr">
        <is>
          <t>As a compliance analyst, I want every system-generated expense line to record that it was system-generated, its source file and when, so that auditors can trace any automatic action.</t>
        </is>
      </c>
      <c r="D6" s="10" t="inlineStr">
        <is>
          <t>1. Given an expense line created from a card transaction, when an auditor opens it, then it shows 'system-generated', the source file name and the creation time</t>
        </is>
      </c>
      <c r="E6" s="10" t="inlineStr">
        <is>
          <t>Medium</t>
        </is>
      </c>
      <c r="F6" s="10" t="n">
        <v>3</v>
      </c>
      <c r="G6" s="10" t="inlineStr">
        <is>
          <t>REQ-13</t>
        </is>
      </c>
      <c r="H6" s="10" t="inlineStr">
        <is>
          <t>Needs work</t>
        </is>
      </c>
      <c r="I6" s="10" t="inlineStr">
        <is>
          <t>Acceptance criteria complete: only 1, need at least 2
Acceptance criteria complete: no negative or edge case
Dependencies and owner named: no owner for TASK-10</t>
        </is>
      </c>
    </row>
    <row r="7">
      <c r="A7" s="10" t="inlineStr">
        <is>
          <t>STORY-6</t>
        </is>
      </c>
      <c r="B7" s="10" t="inlineStr">
        <is>
          <t>EPIC-3</t>
        </is>
      </c>
      <c r="C7" s="10" t="inlineStr">
        <is>
          <t>As a traveller, I want each card transaction matched to my SkyLane trip when its date falls within the trip dates plus or minus two days, so that my card spend lands on the right trip automatically.</t>
        </is>
      </c>
      <c r="D7" s="10" t="inlineStr">
        <is>
          <t>1. Given a hotel charge dated one day after checkout, when matching runs, then it is matched to that trip
2. [Negative] Given a transaction dated five days after the trip ends, when matching runs, then it is not matched and goes to the unassigned queue</t>
        </is>
      </c>
      <c r="E7" s="10" t="inlineStr">
        <is>
          <t>High</t>
        </is>
      </c>
      <c r="F7" s="10" t="n">
        <v>8</v>
      </c>
      <c r="G7" s="10" t="inlineStr">
        <is>
          <t>REQ-6</t>
        </is>
      </c>
      <c r="H7" s="10" t="inlineStr">
        <is>
          <t>Needs work</t>
        </is>
      </c>
      <c r="I7" s="10" t="inlineStr">
        <is>
          <t>Dependencies and owner named: no owner for TASK-12, TASK-13
Dependencies and owner named: unclear dependency on TASK-13
No open questions: Q-2 unresolved</t>
        </is>
      </c>
    </row>
    <row r="8">
      <c r="A8" s="9" t="inlineStr">
        <is>
          <t>STORY-7</t>
        </is>
      </c>
      <c r="B8" s="9" t="inlineStr">
        <is>
          <t>EPIC-3</t>
        </is>
      </c>
      <c r="C8" s="9" t="inlineStr">
        <is>
          <t>As a finance operations manager, I want expense lines recorded at the amount the bank billed, so that report totals match the card statement.</t>
        </is>
      </c>
      <c r="D8" s="9" t="inlineStr">
        <is>
          <t>1. Given a transaction charged in GBP and billed in USD, when it is loaded, then the expense line shows the billed USD amount
2. [Negative] Given a transaction with no billed amount, when it is loaded, then it is flagged as a validation failure</t>
        </is>
      </c>
      <c r="E8" s="9" t="inlineStr">
        <is>
          <t>Medium</t>
        </is>
      </c>
      <c r="F8" s="9" t="n">
        <v>2</v>
      </c>
      <c r="G8" s="9" t="inlineStr">
        <is>
          <t>REQ-11</t>
        </is>
      </c>
      <c r="H8" s="9" t="inlineStr">
        <is>
          <t>Pass</t>
        </is>
      </c>
      <c r="I8" s="9" t="inlineStr"/>
    </row>
    <row r="9">
      <c r="A9" s="10" t="inlineStr">
        <is>
          <t>STORY-8</t>
        </is>
      </c>
      <c r="B9" s="10" t="inlineStr">
        <is>
          <t>EPIC-4</t>
        </is>
      </c>
      <c r="C9" s="10" t="inlineStr">
        <is>
          <t>As a traveller, I want an expense line created automatically on my open report for each matched transaction, so that I don't enter card expenses by hand.</t>
        </is>
      </c>
      <c r="D9" s="10" t="inlineStr">
        <is>
          <t>1. Given a matched transaction and an open report for that trip, when matching completes, then an expense line is added to that report
2. [Negative] Given a matched transaction and no open report for that trip, when matching completes, then the transaction goes to the unassigned queue</t>
        </is>
      </c>
      <c r="E9" s="10" t="inlineStr">
        <is>
          <t>High</t>
        </is>
      </c>
      <c r="F9" s="10" t="n">
        <v>5</v>
      </c>
      <c r="G9" s="10" t="inlineStr">
        <is>
          <t>REQ-7</t>
        </is>
      </c>
      <c r="H9" s="10" t="inlineStr">
        <is>
          <t>Needs work</t>
        </is>
      </c>
      <c r="I9" s="10" t="inlineStr">
        <is>
          <t>Dependencies and owner named: no owner for TASK-15
No open questions: Q-3 unresolved</t>
        </is>
      </c>
    </row>
    <row r="10">
      <c r="A10" s="10" t="inlineStr">
        <is>
          <t>STORY-9</t>
        </is>
      </c>
      <c r="B10" s="10" t="inlineStr">
        <is>
          <t>EPIC-4</t>
        </is>
      </c>
      <c r="C10" s="10" t="inlineStr">
        <is>
          <t>As a traveller, I want to see unmatched transactions in a queue, assign them myself, and get a reminder after three days, so that nothing piles up until month end.</t>
        </is>
      </c>
      <c r="D10" s="10" t="inlineStr">
        <is>
          <t>1. Given an unmatched transaction, when I open my expenses, then it appears in my unassigned queue and I can assign it to a report
2. Given a transaction unassigned for three days, when the daily reminder job runs, then I receive a reminder
3. [Negative] Given a transaction I assigned within three days, when the reminder job runs, then no reminder is sent</t>
        </is>
      </c>
      <c r="E10" s="10" t="inlineStr">
        <is>
          <t>Medium</t>
        </is>
      </c>
      <c r="F10" s="10" t="n">
        <v>5</v>
      </c>
      <c r="G10" s="10" t="inlineStr">
        <is>
          <t>REQ-8, REQ-9</t>
        </is>
      </c>
      <c r="H10" s="10" t="inlineStr">
        <is>
          <t>Needs work</t>
        </is>
      </c>
      <c r="I10" s="10" t="inlineStr">
        <is>
          <t>Independent: Reminder delivery depends on the notification service, whose owner is not confirmed (Q-4).
Dependencies and owner named: no owner for TASK-16, TASK-17
No open questions: Q-4 unresolved</t>
        </is>
      </c>
    </row>
    <row r="11">
      <c r="A11" s="10" t="inlineStr">
        <is>
          <t>STORY-10</t>
        </is>
      </c>
      <c r="B11" s="10" t="inlineStr">
        <is>
          <t>EPIC-5</t>
        </is>
      </c>
      <c r="C11" s="10" t="inlineStr">
        <is>
          <t>As a finance admin, I want a view of today's file status, loaded count, validation failures and match rate, so that we spot feed problems before travellers do.</t>
        </is>
      </c>
      <c r="D11" s="10" t="inlineStr">
        <is>
          <t>1. Given today's file has been processed, when I open the operations view, then I see arrival time, loaded count, failures and match rate
2. [Negative] Given today's file has not arrived, when I open the operations view, then it shows 'not received'</t>
        </is>
      </c>
      <c r="E11" s="10" t="inlineStr">
        <is>
          <t>Medium</t>
        </is>
      </c>
      <c r="F11" s="10" t="n">
        <v>5</v>
      </c>
      <c r="G11" s="10" t="inlineStr">
        <is>
          <t>REQ-12</t>
        </is>
      </c>
      <c r="H11" s="10" t="inlineStr">
        <is>
          <t>Needs work</t>
        </is>
      </c>
      <c r="I11" s="10" t="inlineStr">
        <is>
          <t>Dependencies and owner named: no owner for TASK-18</t>
        </is>
      </c>
    </row>
  </sheetData>
  <autoFilter ref="A1:I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60" customWidth="1" min="4" max="4"/>
    <col width="18" customWidth="1" min="5" max="5"/>
    <col width="18" customWidth="1" min="6" max="6"/>
    <col width="26" customWidth="1" min="7" max="7"/>
    <col width="50" customWidth="1" min="8" max="8"/>
  </cols>
  <sheetData>
    <row r="1">
      <c r="A1" s="8" t="inlineStr">
        <is>
          <t>ID</t>
        </is>
      </c>
      <c r="B1" s="8" t="inlineStr">
        <is>
          <t>Story</t>
        </is>
      </c>
      <c r="C1" s="8" t="inlineStr">
        <is>
          <t>Epic</t>
        </is>
      </c>
      <c r="D1" s="8" t="inlineStr">
        <is>
          <t>Task</t>
        </is>
      </c>
      <c r="E1" s="8" t="inlineStr">
        <is>
          <t>Owner</t>
        </is>
      </c>
      <c r="F1" s="8" t="inlineStr">
        <is>
          <t>Depends on</t>
        </is>
      </c>
      <c r="G1" s="8" t="inlineStr">
        <is>
          <t>System</t>
        </is>
      </c>
      <c r="H1" s="8" t="inlineStr">
        <is>
          <t>Open questions</t>
        </is>
      </c>
    </row>
    <row r="2">
      <c r="A2" s="9" t="inlineStr">
        <is>
          <t>TASK-1</t>
        </is>
      </c>
      <c r="B2" s="9" t="inlineStr">
        <is>
          <t>STORY-1</t>
        </is>
      </c>
      <c r="C2" s="9" t="inlineStr">
        <is>
          <t>EPIC-1</t>
        </is>
      </c>
      <c r="D2" s="9" t="inlineStr">
        <is>
          <t>Define the configurable layout format for Meridian v3 records</t>
        </is>
      </c>
      <c r="E2" s="9" t="inlineStr">
        <is>
          <t>Raj Patel</t>
        </is>
      </c>
      <c r="F2" s="9" t="inlineStr"/>
      <c r="G2" s="9" t="inlineStr">
        <is>
          <t>Meridian Card Feed</t>
        </is>
      </c>
      <c r="H2" s="9" t="inlineStr"/>
    </row>
    <row r="3">
      <c r="A3" s="10" t="inlineStr">
        <is>
          <t>TASK-2</t>
        </is>
      </c>
      <c r="B3" s="10" t="inlineStr">
        <is>
          <t>STORY-1</t>
        </is>
      </c>
      <c r="C3" s="10" t="inlineStr">
        <is>
          <t>EPIC-1</t>
        </is>
      </c>
      <c r="D3" s="10" t="inlineStr">
        <is>
          <t>Build the SFTP pickup job, scheduled after the 4 a.m. file drop</t>
        </is>
      </c>
      <c r="E3" s="10" t="inlineStr">
        <is>
          <t>Raj Patel</t>
        </is>
      </c>
      <c r="F3" s="10" t="inlineStr"/>
      <c r="G3" s="10" t="inlineStr">
        <is>
          <t>Meridian Card Feed</t>
        </is>
      </c>
      <c r="H3" s="10" t="inlineStr">
        <is>
          <t>Tom Becker will send the v3 spec and certification file 'this week'. What date should we plan against?</t>
        </is>
      </c>
    </row>
    <row r="4">
      <c r="A4" s="9" t="inlineStr">
        <is>
          <t>TASK-3</t>
        </is>
      </c>
      <c r="B4" s="9" t="inlineStr">
        <is>
          <t>STORY-1</t>
        </is>
      </c>
      <c r="C4" s="9" t="inlineStr">
        <is>
          <t>EPIC-1</t>
        </is>
      </c>
      <c r="D4" s="9" t="inlineStr">
        <is>
          <t>Implement the fixed-width parser driven by the layout configuration</t>
        </is>
      </c>
      <c r="E4" s="9" t="inlineStr">
        <is>
          <t>Raj Patel</t>
        </is>
      </c>
      <c r="F4" s="9" t="inlineStr">
        <is>
          <t>TASK-1</t>
        </is>
      </c>
      <c r="G4" s="9" t="n"/>
      <c r="H4" s="9" t="inlineStr"/>
    </row>
    <row r="5">
      <c r="A5" s="9" t="inlineStr">
        <is>
          <t>TASK-4</t>
        </is>
      </c>
      <c r="B5" s="9" t="inlineStr">
        <is>
          <t>STORY-1</t>
        </is>
      </c>
      <c r="C5" s="9" t="inlineStr">
        <is>
          <t>EPIC-1</t>
        </is>
      </c>
      <c r="D5" s="9" t="inlineStr">
        <is>
          <t>Load parsed transactions into the expense service</t>
        </is>
      </c>
      <c r="E5" s="9" t="inlineStr">
        <is>
          <t>Raj Patel</t>
        </is>
      </c>
      <c r="F5" s="9" t="inlineStr">
        <is>
          <t>TASK-3</t>
        </is>
      </c>
      <c r="G5" s="9" t="inlineStr">
        <is>
          <t>Voyant Expense Service</t>
        </is>
      </c>
      <c r="H5" s="9" t="inlineStr"/>
    </row>
    <row r="6">
      <c r="A6" s="9" t="inlineStr">
        <is>
          <t>TASK-5</t>
        </is>
      </c>
      <c r="B6" s="9" t="inlineStr">
        <is>
          <t>STORY-1</t>
        </is>
      </c>
      <c r="C6" s="9" t="inlineStr">
        <is>
          <t>EPIC-1</t>
        </is>
      </c>
      <c r="D6" s="9" t="inlineStr">
        <is>
          <t>Write test cases from the Meridian certification file</t>
        </is>
      </c>
      <c r="E6" s="9" t="inlineStr">
        <is>
          <t>Carlos Ruiz</t>
        </is>
      </c>
      <c r="F6" s="9" t="inlineStr"/>
      <c r="G6" s="9" t="n"/>
      <c r="H6" s="9" t="inlineStr"/>
    </row>
    <row r="7">
      <c r="A7" s="9" t="inlineStr">
        <is>
          <t>TASK-6</t>
        </is>
      </c>
      <c r="B7" s="9" t="inlineStr">
        <is>
          <t>STORY-2</t>
        </is>
      </c>
      <c r="C7" s="9" t="inlineStr">
        <is>
          <t>EPIC-1</t>
        </is>
      </c>
      <c r="D7" s="9" t="inlineStr">
        <is>
          <t>Validate the trailer record count and reject mismatched files</t>
        </is>
      </c>
      <c r="E7" s="9" t="inlineStr">
        <is>
          <t>Raj Patel</t>
        </is>
      </c>
      <c r="F7" s="9" t="inlineStr">
        <is>
          <t>TASK-3</t>
        </is>
      </c>
      <c r="G7" s="9" t="n"/>
      <c r="H7" s="9" t="inlineStr"/>
    </row>
    <row r="8">
      <c r="A8" s="9" t="inlineStr">
        <is>
          <t>TASK-7</t>
        </is>
      </c>
      <c r="B8" s="9" t="inlineStr">
        <is>
          <t>STORY-3</t>
        </is>
      </c>
      <c r="C8" s="9" t="inlineStr">
        <is>
          <t>EPIC-1</t>
        </is>
      </c>
      <c r="D8" s="9" t="inlineStr">
        <is>
          <t>Implement duplicate detection on reference number, amount and date</t>
        </is>
      </c>
      <c r="E8" s="9" t="inlineStr">
        <is>
          <t>Raj Patel</t>
        </is>
      </c>
      <c r="F8" s="9" t="inlineStr">
        <is>
          <t>TASK-4</t>
        </is>
      </c>
      <c r="G8" s="9" t="inlineStr">
        <is>
          <t>Voyant Expense Service</t>
        </is>
      </c>
      <c r="H8" s="9" t="inlineStr"/>
    </row>
    <row r="9">
      <c r="A9" s="9" t="inlineStr">
        <is>
          <t>TASK-8</t>
        </is>
      </c>
      <c r="B9" s="9" t="inlineStr">
        <is>
          <t>STORY-4</t>
        </is>
      </c>
      <c r="C9" s="9" t="inlineStr">
        <is>
          <t>EPIC-2</t>
        </is>
      </c>
      <c r="D9" s="9" t="inlineStr">
        <is>
          <t>Mask card numbers to the last four digits on read and delete the raw file after load</t>
        </is>
      </c>
      <c r="E9" s="9" t="inlineStr">
        <is>
          <t>Raj Patel</t>
        </is>
      </c>
      <c r="F9" s="9" t="inlineStr">
        <is>
          <t>TASK-3</t>
        </is>
      </c>
      <c r="G9" s="9" t="n"/>
      <c r="H9" s="9" t="inlineStr"/>
    </row>
    <row r="10">
      <c r="A10" s="9" t="inlineStr">
        <is>
          <t>TASK-9</t>
        </is>
      </c>
      <c r="B10" s="9" t="inlineStr">
        <is>
          <t>STORY-4</t>
        </is>
      </c>
      <c r="C10" s="9" t="inlineStr">
        <is>
          <t>EPIC-2</t>
        </is>
      </c>
      <c r="D10" s="9" t="inlineStr">
        <is>
          <t>Compliance review of masking and raw file deletion</t>
        </is>
      </c>
      <c r="E10" s="9" t="inlineStr">
        <is>
          <t>Lena Park</t>
        </is>
      </c>
      <c r="F10" s="9" t="inlineStr">
        <is>
          <t>TASK-8</t>
        </is>
      </c>
      <c r="G10" s="9" t="n"/>
      <c r="H10" s="9" t="inlineStr"/>
    </row>
    <row r="11">
      <c r="A11" s="10" t="inlineStr">
        <is>
          <t>TASK-10</t>
        </is>
      </c>
      <c r="B11" s="10" t="inlineStr">
        <is>
          <t>STORY-5</t>
        </is>
      </c>
      <c r="C11" s="10" t="inlineStr">
        <is>
          <t>EPIC-2</t>
        </is>
      </c>
      <c r="D11" s="10" t="inlineStr">
        <is>
          <t>Record audit fields on system-generated expense lines</t>
        </is>
      </c>
      <c r="E11" s="11" t="inlineStr">
        <is>
          <t>TBD</t>
        </is>
      </c>
      <c r="F11" s="10" t="inlineStr">
        <is>
          <t>TASK-4</t>
        </is>
      </c>
      <c r="G11" s="10" t="inlineStr">
        <is>
          <t>Voyant Expense Service</t>
        </is>
      </c>
      <c r="H11" s="10" t="inlineStr">
        <is>
          <t>Who owns 'Record audit fields on system-generated expense lines'?</t>
        </is>
      </c>
    </row>
    <row r="12">
      <c r="A12" s="9" t="inlineStr">
        <is>
          <t>TASK-11</t>
        </is>
      </c>
      <c r="B12" s="9" t="inlineStr">
        <is>
          <t>STORY-6</t>
        </is>
      </c>
      <c r="C12" s="9" t="inlineStr">
        <is>
          <t>EPIC-3</t>
        </is>
      </c>
      <c r="D12" s="9" t="inlineStr">
        <is>
          <t>Design matching rules and the trip data caching approach</t>
        </is>
      </c>
      <c r="E12" s="9" t="inlineStr">
        <is>
          <t>Mei Chen</t>
        </is>
      </c>
      <c r="F12" s="9" t="inlineStr"/>
      <c r="G12" s="9" t="inlineStr">
        <is>
          <t>Voyant Matching Engine</t>
        </is>
      </c>
      <c r="H12" s="9" t="inlineStr"/>
    </row>
    <row r="13">
      <c r="A13" s="10" t="inlineStr">
        <is>
          <t>TASK-12</t>
        </is>
      </c>
      <c r="B13" s="10" t="inlineStr">
        <is>
          <t>STORY-6</t>
        </is>
      </c>
      <c r="C13" s="10" t="inlineStr">
        <is>
          <t>EPIC-3</t>
        </is>
      </c>
      <c r="D13" s="10" t="inlineStr">
        <is>
          <t>Build a nightly bulk trip pull from SkyLane within its rate limits</t>
        </is>
      </c>
      <c r="E13" s="11" t="inlineStr">
        <is>
          <t>TBD</t>
        </is>
      </c>
      <c r="F13" s="10" t="inlineStr">
        <is>
          <t>TASK-11</t>
        </is>
      </c>
      <c r="G13" s="10" t="inlineStr">
        <is>
          <t>SkyLane Booking API</t>
        </is>
      </c>
      <c r="H13" s="10" t="inlineStr">
        <is>
          <t>Who owns 'Build a nightly bulk trip pull from SkyLane within its rate limits'?</t>
        </is>
      </c>
    </row>
    <row r="14">
      <c r="A14" s="10" t="inlineStr">
        <is>
          <t>TASK-13</t>
        </is>
      </c>
      <c r="B14" s="10" t="inlineStr">
        <is>
          <t>STORY-6</t>
        </is>
      </c>
      <c r="C14" s="10" t="inlineStr">
        <is>
          <t>EPIC-3</t>
        </is>
      </c>
      <c r="D14" s="10" t="inlineStr">
        <is>
          <t>Implement matching on traveller, date window and merchant category</t>
        </is>
      </c>
      <c r="E14" s="11" t="inlineStr">
        <is>
          <t>TBD</t>
        </is>
      </c>
      <c r="F14" s="10" t="inlineStr">
        <is>
          <t>TASK-11, TASK-12</t>
        </is>
      </c>
      <c r="G14" s="10" t="inlineStr">
        <is>
          <t>Voyant Matching Engine</t>
        </is>
      </c>
      <c r="H14" s="10" t="inlineStr">
        <is>
          <t>Matching needs the SkyLane traveller identifier (Q-2). Who is contacting SkyLane, and by when?
Who owns 'Implement matching on traveller, date window and merchant category'?</t>
        </is>
      </c>
    </row>
    <row r="15">
      <c r="A15" s="9" t="inlineStr">
        <is>
          <t>TASK-14</t>
        </is>
      </c>
      <c r="B15" s="9" t="inlineStr">
        <is>
          <t>STORY-7</t>
        </is>
      </c>
      <c r="C15" s="9" t="inlineStr">
        <is>
          <t>EPIC-3</t>
        </is>
      </c>
      <c r="D15" s="9" t="inlineStr">
        <is>
          <t>Map billed amount and billing currency fields from the file</t>
        </is>
      </c>
      <c r="E15" s="9" t="inlineStr">
        <is>
          <t>Raj Patel</t>
        </is>
      </c>
      <c r="F15" s="9" t="inlineStr">
        <is>
          <t>TASK-3</t>
        </is>
      </c>
      <c r="G15" s="9" t="inlineStr">
        <is>
          <t>Meridian Card Feed</t>
        </is>
      </c>
      <c r="H15" s="9" t="inlineStr"/>
    </row>
    <row r="16">
      <c r="A16" s="10" t="inlineStr">
        <is>
          <t>TASK-15</t>
        </is>
      </c>
      <c r="B16" s="10" t="inlineStr">
        <is>
          <t>STORY-8</t>
        </is>
      </c>
      <c r="C16" s="10" t="inlineStr">
        <is>
          <t>EPIC-4</t>
        </is>
      </c>
      <c r="D16" s="10" t="inlineStr">
        <is>
          <t>Create expense lines on the open report for matched transactions</t>
        </is>
      </c>
      <c r="E16" s="11" t="inlineStr">
        <is>
          <t>TBD</t>
        </is>
      </c>
      <c r="F16" s="10" t="inlineStr">
        <is>
          <t>TASK-13</t>
        </is>
      </c>
      <c r="G16" s="10" t="inlineStr">
        <is>
          <t>Voyant Expense Service</t>
        </is>
      </c>
      <c r="H16" s="10" t="inlineStr">
        <is>
          <t>Who owns 'Create expense lines on the open report for matched transactions'?</t>
        </is>
      </c>
    </row>
    <row r="17">
      <c r="A17" s="10" t="inlineStr">
        <is>
          <t>TASK-16</t>
        </is>
      </c>
      <c r="B17" s="10" t="inlineStr">
        <is>
          <t>STORY-9</t>
        </is>
      </c>
      <c r="C17" s="10" t="inlineStr">
        <is>
          <t>EPIC-4</t>
        </is>
      </c>
      <c r="D17" s="10" t="inlineStr">
        <is>
          <t>Build the unassigned queue view for travellers</t>
        </is>
      </c>
      <c r="E17" s="11" t="inlineStr">
        <is>
          <t>TBD</t>
        </is>
      </c>
      <c r="F17" s="10" t="inlineStr">
        <is>
          <t>TASK-13</t>
        </is>
      </c>
      <c r="G17" s="10" t="n"/>
      <c r="H17" s="10" t="inlineStr">
        <is>
          <t>Who owns 'Build the unassigned queue view for travellers'?</t>
        </is>
      </c>
    </row>
    <row r="18">
      <c r="A18" s="10" t="inlineStr">
        <is>
          <t>TASK-17</t>
        </is>
      </c>
      <c r="B18" s="10" t="inlineStr">
        <is>
          <t>STORY-9</t>
        </is>
      </c>
      <c r="C18" s="10" t="inlineStr">
        <is>
          <t>EPIC-4</t>
        </is>
      </c>
      <c r="D18" s="10" t="inlineStr">
        <is>
          <t>Send a reminder for transactions unassigned for three days</t>
        </is>
      </c>
      <c r="E18" s="11" t="inlineStr">
        <is>
          <t>TBD</t>
        </is>
      </c>
      <c r="F18" s="10" t="inlineStr">
        <is>
          <t>TASK-16</t>
        </is>
      </c>
      <c r="G18" s="10" t="inlineStr">
        <is>
          <t>Voyant Notification Service</t>
        </is>
      </c>
      <c r="H18" s="10" t="inlineStr">
        <is>
          <t>Who owns 'Send a reminder for transactions unassigned for three days'?</t>
        </is>
      </c>
    </row>
    <row r="19">
      <c r="A19" s="10" t="inlineStr">
        <is>
          <t>TASK-18</t>
        </is>
      </c>
      <c r="B19" s="10" t="inlineStr">
        <is>
          <t>STORY-10</t>
        </is>
      </c>
      <c r="C19" s="10" t="inlineStr">
        <is>
          <t>EPIC-5</t>
        </is>
      </c>
      <c r="D19" s="10" t="inlineStr">
        <is>
          <t>Build the operations view for finance admins</t>
        </is>
      </c>
      <c r="E19" s="11" t="inlineStr">
        <is>
          <t>TBD</t>
        </is>
      </c>
      <c r="F19" s="10" t="inlineStr">
        <is>
          <t>TASK-4, TASK-13</t>
        </is>
      </c>
      <c r="G19" s="10" t="n"/>
      <c r="H19" s="10" t="inlineStr">
        <is>
          <t>Who owns 'Build the operations view for finance admins'?</t>
        </is>
      </c>
    </row>
  </sheetData>
  <autoFilter ref="A1:H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9" customWidth="1" min="1" max="1"/>
    <col width="13" customWidth="1" min="2" max="2"/>
    <col width="55" customWidth="1" min="3" max="3"/>
    <col width="18" customWidth="1" min="4" max="4"/>
    <col width="12" customWidth="1" min="5" max="5"/>
    <col width="10" customWidth="1" min="6" max="6"/>
    <col width="11" customWidth="1" min="7" max="7"/>
    <col width="50" customWidth="1" min="8" max="8"/>
    <col width="12" customWidth="1" min="9" max="9"/>
    <col width="20" customWidth="1" min="10" max="10"/>
  </cols>
  <sheetData>
    <row r="1">
      <c r="A1" s="8" t="inlineStr">
        <is>
          <t>ID</t>
        </is>
      </c>
      <c r="B1" s="8" t="inlineStr">
        <is>
          <t>Type</t>
        </is>
      </c>
      <c r="C1" s="8" t="inlineStr">
        <is>
          <t>Description</t>
        </is>
      </c>
      <c r="D1" s="8" t="inlineStr">
        <is>
          <t>Owner</t>
        </is>
      </c>
      <c r="E1" s="8" t="inlineStr">
        <is>
          <t>Status</t>
        </is>
      </c>
      <c r="F1" s="8" t="inlineStr">
        <is>
          <t>Impact</t>
        </is>
      </c>
      <c r="G1" s="8" t="inlineStr">
        <is>
          <t>Likelihood</t>
        </is>
      </c>
      <c r="H1" s="8" t="inlineStr">
        <is>
          <t>Mitigation / next step</t>
        </is>
      </c>
      <c r="I1" s="8" t="inlineStr">
        <is>
          <t>Due date</t>
        </is>
      </c>
      <c r="J1" s="8" t="inlineStr">
        <is>
          <t>Linked to</t>
        </is>
      </c>
    </row>
    <row r="2">
      <c r="A2" s="9" t="inlineStr">
        <is>
          <t>RAID-1</t>
        </is>
      </c>
      <c r="B2" s="9" t="inlineStr">
        <is>
          <t>Risk</t>
        </is>
      </c>
      <c r="C2" s="9" t="inlineStr">
        <is>
          <t>Meridian moves to spec v4 in Q1 with a changed record layout, which could cause rework.</t>
        </is>
      </c>
      <c r="D2" s="9" t="inlineStr">
        <is>
          <t>Mei Chen</t>
        </is>
      </c>
      <c r="E2" s="9" t="inlineStr">
        <is>
          <t>Open</t>
        </is>
      </c>
      <c r="F2" s="9" t="inlineStr">
        <is>
          <t>Medium</t>
        </is>
      </c>
      <c r="G2" s="9" t="inlineStr">
        <is>
          <t>High</t>
        </is>
      </c>
      <c r="H2" s="9" t="inlineStr">
        <is>
          <t>Make the layout configuration (STORY-1) and ask Tom Becker for an early v4 draft.</t>
        </is>
      </c>
      <c r="I2" s="9" t="n"/>
      <c r="J2" s="9" t="inlineStr">
        <is>
          <t>EPIC-1</t>
        </is>
      </c>
    </row>
    <row r="3">
      <c r="A3" s="9" t="inlineStr">
        <is>
          <t>RAID-2</t>
        </is>
      </c>
      <c r="B3" s="9" t="inlineStr">
        <is>
          <t>Risk</t>
        </is>
      </c>
      <c r="C3" s="9" t="inlineStr">
        <is>
          <t>SkyLane API rate limits may be hit when looking up trips for about 200,000 transactions each morning.</t>
        </is>
      </c>
      <c r="D3" s="9" t="inlineStr">
        <is>
          <t>Mei Chen</t>
        </is>
      </c>
      <c r="E3" s="9" t="inlineStr">
        <is>
          <t>Open</t>
        </is>
      </c>
      <c r="F3" s="9" t="inlineStr">
        <is>
          <t>High</t>
        </is>
      </c>
      <c r="G3" s="9" t="inlineStr">
        <is>
          <t>Medium</t>
        </is>
      </c>
      <c r="H3" s="9" t="inlineStr">
        <is>
          <t>Pull trips in bulk overnight and cache them; covered in the matching design.</t>
        </is>
      </c>
      <c r="I3" s="9" t="inlineStr">
        <is>
          <t>2026-01-26</t>
        </is>
      </c>
      <c r="J3" s="9" t="inlineStr">
        <is>
          <t>EPIC-3, STORY-6</t>
        </is>
      </c>
    </row>
    <row r="4">
      <c r="A4" s="9" t="inlineStr">
        <is>
          <t>RAID-3</t>
        </is>
      </c>
      <c r="B4" s="9" t="inlineStr">
        <is>
          <t>Dependency</t>
        </is>
      </c>
      <c r="C4" s="9" t="inlineStr">
        <is>
          <t>Meridian v3 spec and certification test file from Tom Becker.</t>
        </is>
      </c>
      <c r="D4" s="9" t="inlineStr">
        <is>
          <t>Tom Becker</t>
        </is>
      </c>
      <c r="E4" s="9" t="inlineStr">
        <is>
          <t>Open</t>
        </is>
      </c>
      <c r="F4" s="9" t="inlineStr">
        <is>
          <t>High</t>
        </is>
      </c>
      <c r="G4" s="9" t="n"/>
      <c r="H4" s="9" t="inlineStr">
        <is>
          <t>Tom to send this week; Raj to confirm receipt.</t>
        </is>
      </c>
      <c r="I4" s="9" t="inlineStr">
        <is>
          <t>2026-01-16</t>
        </is>
      </c>
      <c r="J4" s="9" t="inlineStr">
        <is>
          <t>EPIC-1</t>
        </is>
      </c>
    </row>
    <row r="5">
      <c r="A5" s="9" t="inlineStr">
        <is>
          <t>RAID-4</t>
        </is>
      </c>
      <c r="B5" s="9" t="inlineStr">
        <is>
          <t>Assumption</t>
        </is>
      </c>
      <c r="C5" s="9" t="inlineStr">
        <is>
          <t>Spec v3 stays supported for at least six months after v4 launches.</t>
        </is>
      </c>
      <c r="D5" s="9" t="inlineStr">
        <is>
          <t>Tom Becker</t>
        </is>
      </c>
      <c r="E5" s="9" t="inlineStr">
        <is>
          <t>Open</t>
        </is>
      </c>
      <c r="F5" s="9" t="inlineStr">
        <is>
          <t>Medium</t>
        </is>
      </c>
      <c r="G5" s="9" t="n"/>
      <c r="H5" s="9" t="inlineStr">
        <is>
          <t>Confirm in writing with Meridian.</t>
        </is>
      </c>
      <c r="I5" s="9" t="n"/>
      <c r="J5" s="9" t="inlineStr">
        <is>
          <t>EPIC-1</t>
        </is>
      </c>
    </row>
    <row r="6">
      <c r="A6" s="9" t="inlineStr">
        <is>
          <t>RAID-5</t>
        </is>
      </c>
      <c r="B6" s="9" t="inlineStr">
        <is>
          <t>Issue</t>
        </is>
      </c>
      <c r="C6" s="9" t="inlineStr">
        <is>
          <t>No confirmed owner for notification service changes needed for reminders.</t>
        </is>
      </c>
      <c r="D6" s="9" t="inlineStr">
        <is>
          <t>Daniel Okafor</t>
        </is>
      </c>
      <c r="E6" s="9" t="inlineStr">
        <is>
          <t>Open</t>
        </is>
      </c>
      <c r="F6" s="9" t="inlineStr">
        <is>
          <t>Medium</t>
        </is>
      </c>
      <c r="G6" s="9" t="n"/>
      <c r="H6" s="9" t="inlineStr">
        <is>
          <t>Daniel to name an owner before sprint planning.</t>
        </is>
      </c>
      <c r="I6" s="9" t="n"/>
      <c r="J6" s="9" t="inlineStr">
        <is>
          <t>STORY-9</t>
        </is>
      </c>
    </row>
    <row r="7">
      <c r="A7" s="9" t="inlineStr">
        <is>
          <t>RAID-6</t>
        </is>
      </c>
      <c r="B7" s="9" t="inlineStr">
        <is>
          <t>Risk</t>
        </is>
      </c>
      <c r="C7" s="9" t="inlineStr">
        <is>
          <t>Pilot client go-live on March 1 is fixed; open questions on SkyLane identifiers and refunds could delay matching and expense creation.</t>
        </is>
      </c>
      <c r="D7" s="9" t="inlineStr">
        <is>
          <t>Priya Nair</t>
        </is>
      </c>
      <c r="E7" s="9" t="inlineStr">
        <is>
          <t>Open</t>
        </is>
      </c>
      <c r="F7" s="9" t="inlineStr">
        <is>
          <t>High</t>
        </is>
      </c>
      <c r="G7" s="9" t="inlineStr">
        <is>
          <t>Medium</t>
        </is>
      </c>
      <c r="H7" s="9" t="inlineStr">
        <is>
          <t>Close Q-2 and Q-3 within two weeks; track weekly against the March 1 date.</t>
        </is>
      </c>
      <c r="I7" s="9" t="inlineStr">
        <is>
          <t>2026-01-26</t>
        </is>
      </c>
      <c r="J7" s="9" t="inlineStr">
        <is>
          <t>EPIC-3, EPIC-4</t>
        </is>
      </c>
    </row>
  </sheetData>
  <autoFilter ref="A1:J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18" customWidth="1" min="3" max="3"/>
    <col width="18" customWidth="1" min="4" max="4"/>
    <col width="20" customWidth="1" min="5" max="5"/>
    <col width="10" customWidth="1" min="6" max="6"/>
  </cols>
  <sheetData>
    <row r="1">
      <c r="A1" s="8" t="inlineStr">
        <is>
          <t>ID</t>
        </is>
      </c>
      <c r="B1" s="8" t="inlineStr">
        <is>
          <t>Question</t>
        </is>
      </c>
      <c r="C1" s="8" t="inlineStr">
        <is>
          <t>Raised by</t>
        </is>
      </c>
      <c r="D1" s="8" t="inlineStr">
        <is>
          <t>Owner</t>
        </is>
      </c>
      <c r="E1" s="8" t="inlineStr">
        <is>
          <t>Linked to</t>
        </is>
      </c>
      <c r="F1" s="8" t="inlineStr">
        <is>
          <t>Resolved</t>
        </is>
      </c>
    </row>
    <row r="2">
      <c r="A2" s="9" t="inlineStr">
        <is>
          <t>Q-1</t>
        </is>
      </c>
      <c r="B2" s="9" t="inlineStr">
        <is>
          <t>Can we keep an encrypted copy of the raw file for a few days for reprocessing, and for how long?</t>
        </is>
      </c>
      <c r="C2" s="9" t="inlineStr">
        <is>
          <t>Daniel Okafor</t>
        </is>
      </c>
      <c r="D2" s="9" t="inlineStr">
        <is>
          <t>Lena Park</t>
        </is>
      </c>
      <c r="E2" s="9" t="inlineStr">
        <is>
          <t>REQ-5</t>
        </is>
      </c>
      <c r="F2" s="9" t="inlineStr">
        <is>
          <t>No</t>
        </is>
      </c>
    </row>
    <row r="3">
      <c r="A3" s="9" t="inlineStr">
        <is>
          <t>Q-2</t>
        </is>
      </c>
      <c r="B3" s="9" t="inlineStr">
        <is>
          <t>Does the SkyLane API return employee ID, or only email?</t>
        </is>
      </c>
      <c r="C3" s="9" t="inlineStr">
        <is>
          <t>Mei Chen</t>
        </is>
      </c>
      <c r="D3" s="12" t="inlineStr">
        <is>
          <t>TBD</t>
        </is>
      </c>
      <c r="E3" s="9" t="inlineStr">
        <is>
          <t>REQ-6</t>
        </is>
      </c>
      <c r="F3" s="9" t="inlineStr">
        <is>
          <t>No</t>
        </is>
      </c>
    </row>
    <row r="4">
      <c r="A4" s="9" t="inlineStr">
        <is>
          <t>Q-3</t>
        </is>
      </c>
      <c r="B4" s="9" t="inlineStr">
        <is>
          <t>Do refunds create negative expense lines or offset the original line?</t>
        </is>
      </c>
      <c r="C4" s="9" t="inlineStr">
        <is>
          <t>Carlos Ruiz</t>
        </is>
      </c>
      <c r="D4" s="9" t="inlineStr">
        <is>
          <t>Aisha Rahman</t>
        </is>
      </c>
      <c r="E4" s="9" t="inlineStr">
        <is>
          <t>REQ-7</t>
        </is>
      </c>
      <c r="F4" s="9" t="inlineStr">
        <is>
          <t>No</t>
        </is>
      </c>
    </row>
    <row r="5">
      <c r="A5" s="9" t="inlineStr">
        <is>
          <t>Q-4</t>
        </is>
      </c>
      <c r="B5" s="9" t="inlineStr">
        <is>
          <t>Who owns notification service changes?</t>
        </is>
      </c>
      <c r="C5" s="9" t="inlineStr">
        <is>
          <t>Daniel Okafor</t>
        </is>
      </c>
      <c r="D5" s="12" t="inlineStr">
        <is>
          <t>TBD</t>
        </is>
      </c>
      <c r="E5" s="9" t="inlineStr">
        <is>
          <t>REQ-9</t>
        </is>
      </c>
      <c r="F5" s="9" t="inlineStr">
        <is>
          <t>No</t>
        </is>
      </c>
    </row>
  </sheetData>
  <autoFilter ref="A1:F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00" customWidth="1" min="1" max="1"/>
  </cols>
  <sheetData>
    <row r="1">
      <c r="A1" s="13" t="inlineStr">
        <is>
          <t>Subject: Recap: Meridian card feed kickoff (12 Jan)</t>
        </is>
      </c>
    </row>
    <row r="2">
      <c r="A2" s="14" t="inlineStr"/>
    </row>
    <row r="3">
      <c r="A3" s="14" t="inlineStr">
        <is>
          <t>Hi all,</t>
        </is>
      </c>
    </row>
    <row r="4">
      <c r="A4" s="14" t="inlineStr"/>
    </row>
    <row r="5">
      <c r="A5" s="14" t="inlineStr">
        <is>
          <t>Thanks all. We agreed phase one scope for the Meridian card feed: daily SFTP ingestion with masking and duplicate checks, matching to SkyLane trips, automatic expense lines with an unassigned queue, billed-amount handling, an operations view and a full audit trail. The pilot client goes live on March 1.</t>
        </is>
      </c>
    </row>
    <row r="6">
      <c r="A6" s="14" t="inlineStr"/>
    </row>
    <row r="7">
      <c r="A7" s="14" t="inlineStr">
        <is>
          <t>Decisions</t>
        </is>
      </c>
    </row>
    <row r="8">
      <c r="A8" s="14" t="inlineStr">
        <is>
          <t>- Phase one uses the SFTP file drop, not the real-time API.</t>
        </is>
      </c>
    </row>
    <row r="9">
      <c r="A9" s="14" t="inlineStr">
        <is>
          <t>- Only the last four digits of the card number are stored.</t>
        </is>
      </c>
    </row>
    <row r="10">
      <c r="A10" s="14" t="inlineStr">
        <is>
          <t>- The matching window is plus or minus two days around the trip.</t>
        </is>
      </c>
    </row>
    <row r="11">
      <c r="A11" s="14" t="inlineStr"/>
    </row>
    <row r="12">
      <c r="A12" s="14" t="inlineStr">
        <is>
          <t>Action items</t>
        </is>
      </c>
    </row>
    <row r="13">
      <c r="A13" s="14" t="inlineStr">
        <is>
          <t>- Send the v3 spec and certification test file (Tom Becker, due 2026-01-16)</t>
        </is>
      </c>
    </row>
    <row r="14">
      <c r="A14" s="14" t="inlineStr">
        <is>
          <t>- Draft the matching design, including trip caching (Mei Chen, due 2026-01-26)</t>
        </is>
      </c>
    </row>
    <row r="15">
      <c r="A15" s="14" t="inlineStr">
        <is>
          <t>- Start the ingestion pipeline once the spec arrives (Raj Patel)</t>
        </is>
      </c>
    </row>
    <row r="16">
      <c r="A16" s="14" t="inlineStr">
        <is>
          <t>- Confirm raw file retention policy (Lena Park)</t>
        </is>
      </c>
    </row>
    <row r="17">
      <c r="A17" s="14" t="inlineStr">
        <is>
          <t>- Confirm refund handling with accounting (Aisha Rahman)</t>
        </is>
      </c>
    </row>
    <row r="18">
      <c r="A18" s="14" t="inlineStr"/>
    </row>
    <row r="19">
      <c r="A19" s="14" t="inlineStr">
        <is>
          <t>Open questions</t>
        </is>
      </c>
    </row>
    <row r="20">
      <c r="A20" s="14" t="inlineStr">
        <is>
          <t>- Does the SkyLane API return employee ID or only email? (owner to be confirmed)</t>
        </is>
      </c>
    </row>
    <row r="21">
      <c r="A21" s="14" t="inlineStr">
        <is>
          <t>- Who owns notification service changes? (Daniel to confirm)</t>
        </is>
      </c>
    </row>
    <row r="22">
      <c r="A22" s="14" t="inlineStr"/>
    </row>
    <row r="23">
      <c r="A23" s="14" t="inlineStr">
        <is>
          <t>Thanks,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2026-09-28T05:20:45Z</dcterms:created>
  <dcterms:modified xmlns:dcterms="http://purl.org/dc/terms/" xmlns:xsi="http://www.w3.org/2001/XMLSchema-instance" xsi:type="dcterms:W3CDTF">2026-09-28T05:20:45Z</dcterms:modified>
</cp:coreProperties>
</file>